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1\Documents\EXCELL 101 DATA analitics\projects\"/>
    </mc:Choice>
  </mc:AlternateContent>
  <xr:revisionPtr revIDLastSave="0" documentId="8_{21C6C285-EF14-44FD-A9E0-723FC9E47724}" xr6:coauthVersionLast="47" xr6:coauthVersionMax="47" xr10:uidLastSave="{00000000-0000-0000-0000-000000000000}"/>
  <bookViews>
    <workbookView xWindow="-120" yWindow="-120" windowWidth="19440" windowHeight="15000" xr2:uid="{39E3E0EE-ED1A-47F1-BA86-7B90DA37D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H2" i="1" a="1"/>
  <c r="H2" i="1" s="1"/>
  <c r="D2" i="1" a="1"/>
  <c r="D2" i="1" s="1"/>
  <c r="G2" i="1" a="1"/>
  <c r="G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<sst xmlns="http://schemas.openxmlformats.org/spreadsheetml/2006/main" count="18" uniqueCount="15">
  <si>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Students</t>
  </si>
  <si>
    <t>Analia</t>
  </si>
  <si>
    <t>carol</t>
  </si>
  <si>
    <t>david</t>
  </si>
  <si>
    <t>Ester</t>
  </si>
  <si>
    <t>Score</t>
  </si>
  <si>
    <t>gender</t>
  </si>
  <si>
    <t>F</t>
  </si>
  <si>
    <t>M</t>
  </si>
  <si>
    <t>PASS&gt; 50%</t>
  </si>
  <si>
    <t>FEMALES PASS 50%</t>
  </si>
  <si>
    <t>MALES PASS 50%</t>
  </si>
  <si>
    <t>AVERAGE&gt;50</t>
  </si>
  <si>
    <t>highest score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</si>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</sst>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6692-74EF-4E9A-9A27-CD651547F9A3}">
  <dimension ref="A1:H6"/>
  <sheetViews>
    <sheetView tabSelected="1" workbookViewId="0">
      <selection activeCell="H2" sqref="H2"/>
    </sheetView>
  </sheetViews>
  <sheetFormatPr defaultRowHeight="15" x14ac:dyDescent="0.25"/>
  <cols>
    <col min="4" max="4" width="10.28515625" bestFit="1" customWidth="1"/>
    <col min="5" max="5" width="17.5703125" bestFit="1" customWidth="1"/>
    <col min="6" max="6" width="15.42578125" bestFit="1" customWidth="1"/>
    <col min="7" max="7" width="11.85546875" bestFit="1" customWidth="1"/>
    <col min="8" max="8" width="12.7109375" bestFit="1" customWidth="1"/>
  </cols>
  <sheetData>
    <row r="1" spans="1:8" x14ac:dyDescent="0.25">
      <c r="A1" t="s">
        <v>0</v>
      </c>
      <c r="B1" t="s">
        <v>5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1</v>
      </c>
      <c r="B2">
        <v>65</v>
      </c>
      <c r="C2" t="s">
        <v>7</v>
      </c>
      <c r="D2" cm="1">
        <f t="array" ref="D2">-SUM(-(B2:B6&gt;=50))</f>
        <v>5</v>
      </c>
      <c r="E2" cm="1">
        <f t="array" ref="E2">SUM(--(B2:B6&gt;=50)*(C2:C6="F"))</f>
        <v>3</v>
      </c>
      <c r="F2" cm="1">
        <f t="array" ref="F2">SUM(--(B2:B6&gt;=50)*(C2:C6="M"))</f>
        <v>2</v>
      </c>
      <c r="G2" cm="1">
        <f t="array" ref="G2">AVERAGE(IF(B2:B6&gt;AVERAGE(B2:B6),B2:B6))</f>
        <v>85</v>
      </c>
      <c r="H2" cm="1">
        <f t="array" ref="H2">MAX(IF(C2:C6="F",B2:B6))</f>
        <v>72</v>
      </c>
    </row>
    <row r="3" spans="1:8" x14ac:dyDescent="0.25">
      <c r="A3" t="s">
        <v>14</v>
      </c>
      <c r="B3">
        <v>80</v>
      </c>
      <c r="C3" t="s">
        <v>8</v>
      </c>
    </row>
    <row r="4" spans="1:8" x14ac:dyDescent="0.25">
      <c r="A4" t="s">
        <v>2</v>
      </c>
      <c r="B4">
        <v>55</v>
      </c>
      <c r="C4" t="s">
        <v>7</v>
      </c>
    </row>
    <row r="5" spans="1:8" x14ac:dyDescent="0.25">
      <c r="A5" t="s">
        <v>3</v>
      </c>
      <c r="B5">
        <v>90</v>
      </c>
      <c r="C5" t="s">
        <v>8</v>
      </c>
    </row>
    <row r="6" spans="1:8" x14ac:dyDescent="0.25">
      <c r="A6" t="s">
        <v>4</v>
      </c>
      <c r="B6">
        <v>72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222100133 - ALLI SHUUYA</dc:creator>
  <cp:lastModifiedBy>222100133 - ALLI SHUUYA</cp:lastModifiedBy>
  <dcterms:created xsi:type="dcterms:W3CDTF">2026-01-09T13:48:06Z</dcterms:created>
  <dcterms:modified xsi:type="dcterms:W3CDTF">2026-01-09T14:57:03Z</dcterms:modified>
</cp:coreProperties>
</file>